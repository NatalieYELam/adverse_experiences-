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0.Phd research plan\Thesis\Ch3.Methods\"/>
    </mc:Choice>
  </mc:AlternateContent>
  <xr:revisionPtr revIDLastSave="0" documentId="8_{E41EF393-7158-4E4D-BBD1-4BD8D15D8B39}" xr6:coauthVersionLast="47" xr6:coauthVersionMax="47" xr10:uidLastSave="{00000000-0000-0000-0000-000000000000}"/>
  <bookViews>
    <workbookView xWindow="13884" yWindow="0" windowWidth="12294" windowHeight="14047" xr2:uid="{F6B6E6BB-4EFE-4D2F-88D2-CCEFF5F7D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C21" i="1" s="1"/>
  <c r="B21" i="1" s="1"/>
  <c r="B28" i="1"/>
  <c r="B5" i="1"/>
  <c r="C5" i="1" s="1"/>
  <c r="B4" i="1"/>
  <c r="B18" i="1"/>
  <c r="F15" i="1"/>
  <c r="B16" i="1" s="1"/>
  <c r="B15" i="1"/>
  <c r="B22" i="1" l="1"/>
  <c r="F22" i="1" s="1"/>
  <c r="C4" i="1"/>
  <c r="C3" i="1" s="1"/>
  <c r="C16" i="1"/>
  <c r="B27" i="1"/>
  <c r="F12" i="1"/>
  <c r="F36" i="1"/>
  <c r="C33" i="1" s="1"/>
  <c r="F42" i="1"/>
  <c r="C39" i="1" s="1"/>
  <c r="B39" i="1" s="1"/>
  <c r="F6" i="1"/>
  <c r="F17" i="1" l="1"/>
  <c r="F18" i="1"/>
  <c r="F21" i="1"/>
  <c r="C22" i="1"/>
  <c r="D24" i="1" s="1"/>
  <c r="D18" i="1"/>
  <c r="B33" i="1"/>
  <c r="B34" i="1" s="1"/>
  <c r="C9" i="1"/>
  <c r="B9" i="1" s="1"/>
  <c r="B10" i="1" s="1"/>
  <c r="C10" i="1" s="1"/>
  <c r="B40" i="1"/>
  <c r="F40" i="1" s="1"/>
  <c r="D6" i="1"/>
  <c r="F3" i="1"/>
  <c r="F4" i="1"/>
  <c r="F10" i="1" l="1"/>
  <c r="C40" i="1"/>
  <c r="D42" i="1" s="1"/>
  <c r="F9" i="1"/>
  <c r="F39" i="1"/>
  <c r="D12" i="1"/>
  <c r="F34" i="1" l="1"/>
  <c r="F33" i="1" l="1"/>
  <c r="C34" i="1"/>
  <c r="D36" i="1" l="1"/>
  <c r="C35" i="1"/>
  <c r="C27" i="1"/>
  <c r="F27" i="1"/>
  <c r="F28" i="1"/>
  <c r="C28" i="1" l="1"/>
  <c r="F29" i="1" l="1"/>
  <c r="D30" i="1"/>
  <c r="B30" i="1" s="1"/>
  <c r="F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tc={C1CDA63D-D1E2-4685-BF86-C607AC2690B4}</author>
    <author>tc={5A6F5C72-E2E5-472E-8F2B-7F83DAB36BF0}</author>
  </authors>
  <commentList>
    <comment ref="B4" authorId="0" shapeId="0" xr:uid="{C1CDA63D-D1E2-4685-BF86-C607AC2690B4}">
      <text>
        <t>[Threaded comment]
Your version of Excel allows you to read this threaded comment; however, any edits to it will get removed if the file is opened in a newer version of Excel. Learn more: https://go.microsoft.com/fwlink/?linkid=870924
Comment:
    In BiB Primary School study, 52.7% (95% CI[51.9%, 53.4%]) children self-reported being bullied some or all of the time, which was even higher (28.6% higher) than parents' report for the children</t>
      </text>
    </comment>
    <comment ref="A37" authorId="1" shapeId="0" xr:uid="{5A6F5C72-E2E5-472E-8F2B-7F83DAB36BF0}">
      <text>
        <t>[Threaded comment]
Your version of Excel allows you to read this threaded comment; however, any edits to it will get removed if the file is opened in a newer version of Excel. Learn more: https://go.microsoft.com/fwlink/?linkid=870924
Comment:
    (1985 + 2090 + 170 + 190 ) ÷ (8170 + 8340) from spreadsheet downloaded from {ONS, 2024 #1001}</t>
      </text>
    </comment>
  </commentList>
</comments>
</file>

<file path=xl/sharedStrings.xml><?xml version="1.0" encoding="utf-8"?>
<sst xmlns="http://schemas.openxmlformats.org/spreadsheetml/2006/main" count="83" uniqueCount="28">
  <si>
    <t>True Positive</t>
  </si>
  <si>
    <t>False Negative</t>
  </si>
  <si>
    <t>False Positive</t>
  </si>
  <si>
    <t>Sensitivity</t>
  </si>
  <si>
    <t>Specificity (assumed)</t>
  </si>
  <si>
    <t xml:space="preserve">X=0 </t>
  </si>
  <si>
    <t>X=1</t>
  </si>
  <si>
    <t xml:space="preserve">X*=0 </t>
  </si>
  <si>
    <t xml:space="preserve">X*=1 </t>
  </si>
  <si>
    <t>misclassification matrix for MCSIMEX</t>
  </si>
  <si>
    <t>Specificity</t>
  </si>
  <si>
    <t>AE (Proportion of Yes)</t>
  </si>
  <si>
    <t>Real +ve</t>
  </si>
  <si>
    <t>Real -ve</t>
  </si>
  <si>
    <t>Answered/classified +ve</t>
  </si>
  <si>
    <t>Answered/classified -ve</t>
  </si>
  <si>
    <t xml:space="preserve">Specificity </t>
  </si>
  <si>
    <t>Sensitivity (assumed)</t>
  </si>
  <si>
    <r>
      <rPr>
        <b/>
        <sz val="11"/>
        <color theme="1"/>
        <rFont val="Aptos Narrow"/>
        <family val="2"/>
        <scheme val="minor"/>
      </rPr>
      <t>Parental substance use scenario 1:</t>
    </r>
    <r>
      <rPr>
        <sz val="11"/>
        <color theme="1"/>
        <rFont val="Aptos Narrow"/>
        <family val="2"/>
        <scheme val="minor"/>
      </rPr>
      <t xml:space="preserve"> If 7.2% children experienced parental substance use (i.e. proportion among the 5253 children) </t>
    </r>
  </si>
  <si>
    <r>
      <rPr>
        <b/>
        <sz val="11"/>
        <color theme="1"/>
        <rFont val="Aptos Narrow"/>
        <family val="2"/>
        <scheme val="minor"/>
      </rPr>
      <t xml:space="preserve">Parental mental illness scenario 2: </t>
    </r>
    <r>
      <rPr>
        <sz val="11"/>
        <color theme="1"/>
        <rFont val="Aptos Narrow"/>
        <family val="2"/>
        <scheme val="minor"/>
      </rPr>
      <t>If only parents had mental illness recorded in GP records truly had mental illness (n=738), and the 241 (979-738) were false positive</t>
    </r>
  </si>
  <si>
    <r>
      <rPr>
        <b/>
        <sz val="11"/>
        <color theme="1"/>
        <rFont val="Aptos Narrow"/>
        <family val="2"/>
        <scheme val="minor"/>
      </rPr>
      <t xml:space="preserve">Parental mental illness scenario 1: </t>
    </r>
    <r>
      <rPr>
        <sz val="11"/>
        <color theme="1"/>
        <rFont val="Aptos Narrow"/>
        <family val="2"/>
        <scheme val="minor"/>
      </rPr>
      <t>If 38.7% children experienced parental mental illness (i.e. same as the proportion in the 5253 children sample)</t>
    </r>
  </si>
  <si>
    <r>
      <rPr>
        <b/>
        <sz val="11"/>
        <color theme="1"/>
        <rFont val="Aptos Narrow"/>
        <family val="2"/>
        <scheme val="minor"/>
      </rPr>
      <t>Not living with both parents (baseline scenario):</t>
    </r>
    <r>
      <rPr>
        <sz val="11"/>
        <color theme="1"/>
        <rFont val="Aptos Narrow"/>
        <family val="2"/>
        <scheme val="minor"/>
      </rPr>
      <t xml:space="preserve"> If 20.27% aged 0 children lived with lone parent (Census 2011 data)</t>
    </r>
  </si>
  <si>
    <r>
      <rPr>
        <b/>
        <sz val="11"/>
        <color theme="1"/>
        <rFont val="Aptos Narrow"/>
        <family val="2"/>
        <scheme val="minor"/>
      </rPr>
      <t>Not living with both parents (mid-childhood scenario):</t>
    </r>
    <r>
      <rPr>
        <sz val="11"/>
        <color theme="1"/>
        <rFont val="Aptos Narrow"/>
        <family val="2"/>
        <scheme val="minor"/>
      </rPr>
      <t xml:space="preserve"> If 26.86% aged 10-11 children lived with lone parent (Census 2021 data)</t>
    </r>
  </si>
  <si>
    <t>True Negative</t>
  </si>
  <si>
    <t>False negative rate</t>
  </si>
  <si>
    <t>False positive rate</t>
  </si>
  <si>
    <r>
      <rPr>
        <b/>
        <sz val="11"/>
        <color theme="1"/>
        <rFont val="Aptos Narrow"/>
        <family val="2"/>
        <scheme val="minor"/>
      </rPr>
      <t>Bullying scenario 1:</t>
    </r>
    <r>
      <rPr>
        <sz val="11"/>
        <color theme="1"/>
        <rFont val="Aptos Narrow"/>
        <family val="2"/>
        <scheme val="minor"/>
      </rPr>
      <t xml:space="preserve"> If 52.7% primary school children ~aged 9 were bullied</t>
    </r>
  </si>
  <si>
    <r>
      <rPr>
        <b/>
        <sz val="11"/>
        <color theme="1"/>
        <rFont val="Aptos Narrow"/>
        <family val="2"/>
        <scheme val="minor"/>
      </rPr>
      <t xml:space="preserve">Parental substance use scenario 2.0: </t>
    </r>
    <r>
      <rPr>
        <sz val="11"/>
        <color theme="1"/>
        <rFont val="Aptos Narrow"/>
        <family val="2"/>
        <scheme val="minor"/>
      </rPr>
      <t>If n=19 parents self-reported increasing-risk alcohol consumption was not substance use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</si>
</sst>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"/>
    <numFmt numFmtId="166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0" fillId="3" borderId="0" xfId="0" applyNumberFormat="1" applyFill="1"/>
    <xf numFmtId="1" fontId="0" fillId="4" borderId="0" xfId="0" applyNumberFormat="1" applyFill="1"/>
    <xf numFmtId="1" fontId="0" fillId="5" borderId="0" xfId="0" applyNumberFormat="1" applyFill="1"/>
    <xf numFmtId="1" fontId="0" fillId="0" borderId="0" xfId="0" applyNumberFormat="1"/>
    <xf numFmtId="0" fontId="0" fillId="0" borderId="9" xfId="0" applyBorder="1"/>
    <xf numFmtId="0" fontId="0" fillId="2" borderId="9" xfId="0" applyFill="1" applyBorder="1"/>
    <xf numFmtId="0" fontId="0" fillId="5" borderId="9" xfId="0" applyFill="1" applyBorder="1"/>
    <xf numFmtId="0" fontId="0" fillId="3" borderId="9" xfId="0" applyFill="1" applyBorder="1"/>
    <xf numFmtId="0" fontId="0" fillId="4" borderId="9" xfId="0" applyFill="1" applyBorder="1"/>
    <xf numFmtId="164" fontId="1" fillId="0" borderId="0" xfId="0" applyNumberFormat="1" applyFont="1"/>
    <xf numFmtId="164" fontId="1" fillId="0" borderId="7" xfId="0" applyNumberFormat="1" applyFont="1" applyBorder="1"/>
    <xf numFmtId="165" fontId="0" fillId="0" borderId="5" xfId="0" applyNumberFormat="1" applyBorder="1"/>
    <xf numFmtId="165" fontId="0" fillId="0" borderId="8" xfId="0" applyNumberFormat="1" applyBorder="1"/>
    <xf numFmtId="165" fontId="0" fillId="0" borderId="3" xfId="0" applyNumberFormat="1" applyBorder="1"/>
    <xf numFmtId="165" fontId="0" fillId="0" borderId="0" xfId="0" applyNumberFormat="1"/>
    <xf numFmtId="1" fontId="0" fillId="2" borderId="0" xfId="0" applyNumberFormat="1" applyFill="1"/>
    <xf numFmtId="2" fontId="0" fillId="0" borderId="0" xfId="0" applyNumberFormat="1"/>
    <xf numFmtId="1" fontId="0" fillId="0" borderId="7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alie Lam" id="{EE3FF840-0C21-4DF3-9D92-48DC54D3E8F1}" userId="S::natalie.lam@york.ac.uk::199d3c30-3d60-42a2-80eb-3bc803061d4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5-06-14T12:00:40.28" personId="{EE3FF840-0C21-4DF3-9D92-48DC54D3E8F1}" id="{C1CDA63D-D1E2-4685-BF86-C607AC2690B4}">
    <text>In BiB Primary School study, 52.7% (95% CI[51.9%, 53.4%]) children self-reported being bullied some or all of the time, which was even higher (28.6% higher) than parents' report for the children</text>
  </threadedComment>
  <threadedComment ref="A37" dT="2025-08-27T15:50:10.52" personId="{EE3FF840-0C21-4DF3-9D92-48DC54D3E8F1}" id="{5A6F5C72-E2E5-472E-8F2B-7F83DAB36BF0}">
    <text>(1985 + 2090 + 170 + 190 ) ÷ (8170 + 8340) from spreadsheet downloaded from {ONS, 2024 #1001}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EE84-A354-4171-BDCD-1CBA1E3AE16B}">
  <dimension ref="A1:H51"/>
  <sheetViews>
    <sheetView tabSelected="1" topLeftCell="A7" zoomScale="80" zoomScaleNormal="80" workbookViewId="0">
      <selection activeCell="E16" sqref="E16"/>
    </sheetView>
  </sheetViews>
  <sheetFormatPr defaultRowHeight="14.3" x14ac:dyDescent="0.25"/>
  <cols>
    <col min="1" max="1" width="20.5" customWidth="1"/>
    <col min="2" max="3" width="16.5" customWidth="1"/>
    <col min="4" max="4" width="7.25" customWidth="1"/>
    <col min="5" max="5" width="13.25" customWidth="1"/>
    <col min="6" max="6" width="15" customWidth="1"/>
    <col min="7" max="7" width="15.375" customWidth="1"/>
    <col min="8" max="8" width="10.25" bestFit="1" customWidth="1"/>
  </cols>
  <sheetData>
    <row r="1" spans="1:7" x14ac:dyDescent="0.25">
      <c r="A1" s="2" t="s">
        <v>26</v>
      </c>
      <c r="B1" s="3"/>
      <c r="C1" s="3"/>
      <c r="D1" s="3"/>
      <c r="E1" s="3"/>
      <c r="F1" s="22"/>
    </row>
    <row r="2" spans="1:7" x14ac:dyDescent="0.25">
      <c r="A2" s="5"/>
      <c r="B2" t="s">
        <v>12</v>
      </c>
      <c r="C2" t="s">
        <v>13</v>
      </c>
      <c r="F2" s="20"/>
    </row>
    <row r="3" spans="1:7" x14ac:dyDescent="0.25">
      <c r="A3" s="5" t="s">
        <v>14</v>
      </c>
      <c r="B3" s="1">
        <v>642</v>
      </c>
      <c r="C3" s="11">
        <f>C5-C4</f>
        <v>12.326379999999972</v>
      </c>
      <c r="E3" t="s">
        <v>1</v>
      </c>
      <c r="F3" s="20">
        <f>B4/(B3+B4)</f>
        <v>0.5325340296294786</v>
      </c>
      <c r="G3" s="23">
        <v>0.5325340296294786</v>
      </c>
    </row>
    <row r="4" spans="1:7" x14ac:dyDescent="0.25">
      <c r="A4" s="5" t="s">
        <v>15</v>
      </c>
      <c r="B4" s="9">
        <f>(2606*B6)-642</f>
        <v>731.36200000000008</v>
      </c>
      <c r="C4" s="10">
        <f>C5*F5</f>
        <v>1220.3116199999999</v>
      </c>
      <c r="E4" t="s">
        <v>3</v>
      </c>
      <c r="F4" s="20">
        <f>B3/(B3+B4)</f>
        <v>0.46746597037052134</v>
      </c>
      <c r="G4" s="23">
        <v>0.46746597037052134</v>
      </c>
    </row>
    <row r="5" spans="1:7" x14ac:dyDescent="0.25">
      <c r="A5" s="5"/>
      <c r="B5" s="12">
        <f>2606*B6</f>
        <v>1373.3620000000001</v>
      </c>
      <c r="C5" s="12">
        <f>2606-B5</f>
        <v>1232.6379999999999</v>
      </c>
      <c r="E5" t="s">
        <v>4</v>
      </c>
      <c r="F5" s="20">
        <v>0.99</v>
      </c>
      <c r="G5">
        <v>0.99</v>
      </c>
    </row>
    <row r="6" spans="1:7" x14ac:dyDescent="0.25">
      <c r="A6" s="7" t="s">
        <v>11</v>
      </c>
      <c r="B6" s="18">
        <v>0.52700000000000002</v>
      </c>
      <c r="C6" s="8"/>
      <c r="D6">
        <f>SUM(B3:C4)</f>
        <v>2606</v>
      </c>
      <c r="E6" s="8" t="s">
        <v>2</v>
      </c>
      <c r="F6" s="21">
        <f>1-F5</f>
        <v>1.0000000000000009E-2</v>
      </c>
      <c r="G6">
        <v>1.0000000000000009E-2</v>
      </c>
    </row>
    <row r="7" spans="1:7" x14ac:dyDescent="0.25">
      <c r="A7" s="2" t="s">
        <v>18</v>
      </c>
      <c r="B7" s="3"/>
      <c r="C7" s="3"/>
      <c r="D7" s="3"/>
      <c r="E7" s="3"/>
      <c r="F7" s="4"/>
    </row>
    <row r="8" spans="1:7" x14ac:dyDescent="0.25">
      <c r="A8" s="5"/>
      <c r="B8" t="s">
        <v>12</v>
      </c>
      <c r="C8" t="s">
        <v>13</v>
      </c>
      <c r="F8" s="6"/>
    </row>
    <row r="9" spans="1:7" x14ac:dyDescent="0.25">
      <c r="A9" s="5" t="s">
        <v>14</v>
      </c>
      <c r="B9" s="24">
        <f>154-C9</f>
        <v>129.29664000000025</v>
      </c>
      <c r="C9" s="11">
        <f>(2662-(2662*B12))*F12</f>
        <v>24.703359999999751</v>
      </c>
      <c r="E9" t="s">
        <v>1</v>
      </c>
      <c r="F9" s="20">
        <f>B10/(B9+B10)</f>
        <v>0.32539944903581131</v>
      </c>
      <c r="G9" s="27">
        <v>0.32539944903581131</v>
      </c>
    </row>
    <row r="10" spans="1:7" x14ac:dyDescent="0.25">
      <c r="A10" s="5" t="s">
        <v>15</v>
      </c>
      <c r="B10" s="9">
        <f>(2662*B12)-B9</f>
        <v>62.367359999999735</v>
      </c>
      <c r="C10" s="10">
        <f>2662-B10-C9-B9</f>
        <v>2445.6326399999998</v>
      </c>
      <c r="E10" t="s">
        <v>3</v>
      </c>
      <c r="F10" s="20">
        <f>B9/(B9+B10)</f>
        <v>0.67460055096418869</v>
      </c>
      <c r="G10" s="27">
        <v>0.67460055096418869</v>
      </c>
    </row>
    <row r="11" spans="1:7" x14ac:dyDescent="0.25">
      <c r="A11" s="5"/>
      <c r="E11" t="s">
        <v>4</v>
      </c>
      <c r="F11" s="20">
        <v>0.9900000000000001</v>
      </c>
      <c r="G11" s="25">
        <v>0.9900000000000001</v>
      </c>
    </row>
    <row r="12" spans="1:7" x14ac:dyDescent="0.25">
      <c r="A12" s="7" t="s">
        <v>11</v>
      </c>
      <c r="B12" s="19">
        <v>7.1999999999999995E-2</v>
      </c>
      <c r="C12" s="8"/>
      <c r="D12" s="12">
        <f>SUM(B9:C10)</f>
        <v>2661.9999999999995</v>
      </c>
      <c r="E12" s="8" t="s">
        <v>2</v>
      </c>
      <c r="F12" s="21">
        <f>1-F11</f>
        <v>9.9999999999998979E-3</v>
      </c>
      <c r="G12">
        <v>9.9999999999998979E-3</v>
      </c>
    </row>
    <row r="13" spans="1:7" x14ac:dyDescent="0.25">
      <c r="A13" s="2" t="s">
        <v>27</v>
      </c>
      <c r="B13" s="3"/>
      <c r="C13" s="3"/>
      <c r="D13" s="3"/>
      <c r="E13" s="3"/>
      <c r="F13" s="4"/>
    </row>
    <row r="14" spans="1:7" x14ac:dyDescent="0.25">
      <c r="A14" s="5"/>
      <c r="B14" t="s">
        <v>12</v>
      </c>
      <c r="C14" t="s">
        <v>13</v>
      </c>
      <c r="F14" s="6"/>
    </row>
    <row r="15" spans="1:7" x14ac:dyDescent="0.25">
      <c r="A15" s="5" t="s">
        <v>14</v>
      </c>
      <c r="B15" s="24">
        <f>(154-19)*F16</f>
        <v>133.65</v>
      </c>
      <c r="C15" s="11">
        <v>19</v>
      </c>
      <c r="E15" t="s">
        <v>1</v>
      </c>
      <c r="F15" s="20">
        <f>1-F16</f>
        <v>1.0000000000000009E-2</v>
      </c>
      <c r="G15">
        <v>1.0000000000000009E-2</v>
      </c>
    </row>
    <row r="16" spans="1:7" x14ac:dyDescent="0.25">
      <c r="A16" s="5" t="s">
        <v>15</v>
      </c>
      <c r="B16" s="9">
        <f>(154-19)*F15</f>
        <v>1.3500000000000012</v>
      </c>
      <c r="C16" s="10">
        <f>2662-B15-B16-C15</f>
        <v>2508</v>
      </c>
      <c r="E16" t="s">
        <v>17</v>
      </c>
      <c r="F16" s="20">
        <v>0.99</v>
      </c>
      <c r="G16">
        <v>0.99</v>
      </c>
    </row>
    <row r="17" spans="1:8" x14ac:dyDescent="0.25">
      <c r="A17" s="5"/>
      <c r="E17" t="s">
        <v>16</v>
      </c>
      <c r="F17" s="20">
        <f>C16/(C16+C15)</f>
        <v>0.99248120300751874</v>
      </c>
      <c r="G17">
        <v>0.99248120300751874</v>
      </c>
    </row>
    <row r="18" spans="1:8" x14ac:dyDescent="0.25">
      <c r="A18" s="7" t="s">
        <v>11</v>
      </c>
      <c r="B18" s="18">
        <f>(154-19)/2662</f>
        <v>5.0713749060856496E-2</v>
      </c>
      <c r="C18" s="8"/>
      <c r="D18" s="12">
        <f>SUM(B15:C16)</f>
        <v>2662</v>
      </c>
      <c r="E18" s="8" t="s">
        <v>2</v>
      </c>
      <c r="F18" s="21">
        <f>C15/(C16+C15)</f>
        <v>7.5187969924812026E-3</v>
      </c>
      <c r="G18">
        <v>7.5187969924812E-3</v>
      </c>
    </row>
    <row r="19" spans="1:8" x14ac:dyDescent="0.25">
      <c r="A19" s="2" t="s">
        <v>20</v>
      </c>
      <c r="B19" s="3"/>
      <c r="C19" s="3"/>
      <c r="D19" s="3"/>
      <c r="E19" s="3"/>
      <c r="F19" s="22"/>
    </row>
    <row r="20" spans="1:8" x14ac:dyDescent="0.25">
      <c r="A20" s="5"/>
      <c r="B20" t="s">
        <v>12</v>
      </c>
      <c r="C20" t="s">
        <v>13</v>
      </c>
      <c r="F20" s="20"/>
    </row>
    <row r="21" spans="1:8" x14ac:dyDescent="0.25">
      <c r="A21" s="5" t="s">
        <v>14</v>
      </c>
      <c r="B21" s="24">
        <f>979-C21</f>
        <v>962.68194000000017</v>
      </c>
      <c r="C21" s="11">
        <f>(2662-(2662*B24))*F24</f>
        <v>16.318059999999832</v>
      </c>
      <c r="E21" t="s">
        <v>1</v>
      </c>
      <c r="F21" s="20">
        <f>B22/(B21+B22)</f>
        <v>6.5533346146453772E-2</v>
      </c>
      <c r="G21">
        <v>6.5533346146453772E-2</v>
      </c>
      <c r="H21" s="23"/>
    </row>
    <row r="22" spans="1:8" x14ac:dyDescent="0.25">
      <c r="A22" s="5" t="s">
        <v>15</v>
      </c>
      <c r="B22" s="9">
        <f>(2662*B24)-B21</f>
        <v>67.512059999999792</v>
      </c>
      <c r="C22" s="10">
        <f>2662-B22-C21-B21</f>
        <v>1615.4879400000002</v>
      </c>
      <c r="E22" t="s">
        <v>3</v>
      </c>
      <c r="F22" s="20">
        <f>B21/(B21+B22)</f>
        <v>0.93446665385354621</v>
      </c>
      <c r="G22">
        <v>0.93446665385354621</v>
      </c>
    </row>
    <row r="23" spans="1:8" x14ac:dyDescent="0.25">
      <c r="A23" s="5"/>
      <c r="E23" t="s">
        <v>4</v>
      </c>
      <c r="F23" s="20">
        <v>0.9900000000000001</v>
      </c>
      <c r="G23">
        <v>0.9900000000000001</v>
      </c>
    </row>
    <row r="24" spans="1:8" x14ac:dyDescent="0.25">
      <c r="A24" s="7" t="s">
        <v>11</v>
      </c>
      <c r="B24" s="19">
        <v>0.38700000000000001</v>
      </c>
      <c r="C24" s="8"/>
      <c r="D24" s="12">
        <f>SUM(B21:C22)</f>
        <v>2662</v>
      </c>
      <c r="E24" s="8" t="s">
        <v>2</v>
      </c>
      <c r="F24" s="21">
        <f>1-F23</f>
        <v>9.9999999999998979E-3</v>
      </c>
      <c r="G24">
        <v>9.9999999999998979E-3</v>
      </c>
    </row>
    <row r="25" spans="1:8" x14ac:dyDescent="0.25">
      <c r="A25" s="2" t="s">
        <v>19</v>
      </c>
      <c r="B25" s="3"/>
      <c r="C25" s="3"/>
      <c r="D25" s="3"/>
      <c r="E25" s="3"/>
      <c r="F25" s="22"/>
    </row>
    <row r="26" spans="1:8" x14ac:dyDescent="0.25">
      <c r="A26" s="5"/>
      <c r="B26" t="s">
        <v>12</v>
      </c>
      <c r="C26" t="s">
        <v>13</v>
      </c>
      <c r="F26" s="20"/>
    </row>
    <row r="27" spans="1:8" x14ac:dyDescent="0.25">
      <c r="A27" s="5" t="s">
        <v>14</v>
      </c>
      <c r="B27" s="24">
        <f>738*0.99</f>
        <v>730.62</v>
      </c>
      <c r="C27" s="11">
        <f>979-B27-B28</f>
        <v>241</v>
      </c>
      <c r="E27" t="s">
        <v>1</v>
      </c>
      <c r="F27" s="20">
        <f>B28/(B27+B28)</f>
        <v>0.01</v>
      </c>
      <c r="G27">
        <v>0.01</v>
      </c>
    </row>
    <row r="28" spans="1:8" x14ac:dyDescent="0.25">
      <c r="A28" s="5" t="s">
        <v>15</v>
      </c>
      <c r="B28" s="9">
        <f>738*0.01</f>
        <v>7.38</v>
      </c>
      <c r="C28" s="10">
        <f>2662-B28-C27-B27</f>
        <v>1683</v>
      </c>
      <c r="E28" t="s">
        <v>17</v>
      </c>
      <c r="F28" s="20">
        <f>B27/(B27+B28)</f>
        <v>0.99</v>
      </c>
      <c r="G28">
        <v>0.99</v>
      </c>
    </row>
    <row r="29" spans="1:8" x14ac:dyDescent="0.25">
      <c r="A29" s="5"/>
      <c r="E29" t="s">
        <v>10</v>
      </c>
      <c r="F29" s="20">
        <f>C28/(C28+C27)</f>
        <v>0.87474012474012475</v>
      </c>
      <c r="G29" s="23">
        <v>0.87474012474012475</v>
      </c>
    </row>
    <row r="30" spans="1:8" x14ac:dyDescent="0.25">
      <c r="A30" s="7" t="s">
        <v>11</v>
      </c>
      <c r="B30" s="19">
        <f>SUM(B27:B28)/D30</f>
        <v>0.27723516153268218</v>
      </c>
      <c r="C30" s="8"/>
      <c r="D30" s="12">
        <f>SUM(B27:C28)</f>
        <v>2662</v>
      </c>
      <c r="E30" s="8" t="s">
        <v>2</v>
      </c>
      <c r="F30" s="21">
        <f>C27/(C28+C27)</f>
        <v>0.12525987525987525</v>
      </c>
      <c r="G30" s="23">
        <v>0.125259875259875</v>
      </c>
    </row>
    <row r="31" spans="1:8" x14ac:dyDescent="0.25">
      <c r="A31" s="2" t="s">
        <v>21</v>
      </c>
      <c r="B31" s="3"/>
      <c r="C31" s="3"/>
      <c r="D31" s="3"/>
      <c r="E31" s="3"/>
      <c r="F31" s="22"/>
    </row>
    <row r="32" spans="1:8" x14ac:dyDescent="0.25">
      <c r="A32" s="5"/>
      <c r="B32" t="s">
        <v>12</v>
      </c>
      <c r="C32" t="s">
        <v>13</v>
      </c>
      <c r="F32" s="20"/>
    </row>
    <row r="33" spans="1:7" x14ac:dyDescent="0.25">
      <c r="A33" s="5" t="s">
        <v>14</v>
      </c>
      <c r="B33" s="24">
        <f>244-C33</f>
        <v>224.30000000000021</v>
      </c>
      <c r="C33" s="11">
        <f>1970*F36</f>
        <v>19.6999999999998</v>
      </c>
      <c r="E33" t="s">
        <v>1</v>
      </c>
      <c r="F33" s="20">
        <f>B34/(B33+B34)</f>
        <v>0.50019809357771206</v>
      </c>
      <c r="G33">
        <v>0.50019809357771206</v>
      </c>
    </row>
    <row r="34" spans="1:7" x14ac:dyDescent="0.25">
      <c r="A34" s="5" t="s">
        <v>15</v>
      </c>
      <c r="B34" s="9">
        <f>(2214*B36)-B33</f>
        <v>224.47779999999975</v>
      </c>
      <c r="C34" s="10">
        <f>2214-B34-C33-B33</f>
        <v>1745.5222000000003</v>
      </c>
      <c r="E34" t="s">
        <v>3</v>
      </c>
      <c r="F34" s="20">
        <f>B33/(B33+B34)</f>
        <v>0.49980190642228789</v>
      </c>
      <c r="G34">
        <v>0.49980190642228789</v>
      </c>
    </row>
    <row r="35" spans="1:7" x14ac:dyDescent="0.25">
      <c r="A35" s="5"/>
      <c r="B35" s="12"/>
      <c r="C35" s="12">
        <f>SUM(C33:C34)</f>
        <v>1765.2222000000002</v>
      </c>
      <c r="E35" t="s">
        <v>4</v>
      </c>
      <c r="F35" s="20">
        <v>0.9900000000000001</v>
      </c>
      <c r="G35">
        <v>0.9900000000000001</v>
      </c>
    </row>
    <row r="36" spans="1:7" x14ac:dyDescent="0.25">
      <c r="A36" s="7" t="s">
        <v>11</v>
      </c>
      <c r="B36" s="18">
        <v>0.20269999999999999</v>
      </c>
      <c r="C36" s="8"/>
      <c r="D36">
        <f>SUM(B33:C34)</f>
        <v>2214</v>
      </c>
      <c r="E36" s="8" t="s">
        <v>2</v>
      </c>
      <c r="F36" s="21">
        <f>1-F35</f>
        <v>9.9999999999998979E-3</v>
      </c>
      <c r="G36">
        <v>9.9999999999998979E-3</v>
      </c>
    </row>
    <row r="37" spans="1:7" x14ac:dyDescent="0.25">
      <c r="A37" s="2" t="s">
        <v>22</v>
      </c>
      <c r="B37" s="3"/>
      <c r="C37" s="3"/>
      <c r="D37" s="3"/>
      <c r="E37" s="3"/>
      <c r="F37" s="22"/>
    </row>
    <row r="38" spans="1:7" x14ac:dyDescent="0.25">
      <c r="A38" s="5"/>
      <c r="B38" t="s">
        <v>12</v>
      </c>
      <c r="C38" t="s">
        <v>13</v>
      </c>
      <c r="F38" s="20"/>
    </row>
    <row r="39" spans="1:7" x14ac:dyDescent="0.25">
      <c r="A39" s="5" t="s">
        <v>14</v>
      </c>
      <c r="B39" s="24">
        <f>421-C39</f>
        <v>400.08000000000021</v>
      </c>
      <c r="C39" s="11">
        <f>2092*F42</f>
        <v>20.919999999999785</v>
      </c>
      <c r="E39" t="s">
        <v>1</v>
      </c>
      <c r="F39" s="20">
        <f>B40/(B39+B40)</f>
        <v>0.40728168845902984</v>
      </c>
      <c r="G39">
        <v>0.40728168845902984</v>
      </c>
    </row>
    <row r="40" spans="1:7" x14ac:dyDescent="0.25">
      <c r="A40" s="5" t="s">
        <v>15</v>
      </c>
      <c r="B40" s="9">
        <f>(2513*B42)-B39</f>
        <v>274.9117999999998</v>
      </c>
      <c r="C40" s="10">
        <f>2513-B39-B40-C39</f>
        <v>1817.0881999999999</v>
      </c>
      <c r="E40" t="s">
        <v>3</v>
      </c>
      <c r="F40" s="20">
        <f>B39/(B39+B40)</f>
        <v>0.5927183115409701</v>
      </c>
      <c r="G40">
        <v>0.5927183115409701</v>
      </c>
    </row>
    <row r="41" spans="1:7" x14ac:dyDescent="0.25">
      <c r="A41" s="5"/>
      <c r="E41" t="s">
        <v>4</v>
      </c>
      <c r="F41" s="20">
        <v>0.9900000000000001</v>
      </c>
      <c r="G41">
        <v>0.9900000000000001</v>
      </c>
    </row>
    <row r="42" spans="1:7" x14ac:dyDescent="0.25">
      <c r="A42" s="7" t="s">
        <v>11</v>
      </c>
      <c r="B42" s="19">
        <v>0.26860000000000001</v>
      </c>
      <c r="C42" s="8"/>
      <c r="D42" s="26">
        <f>SUM(B39:C40)</f>
        <v>2513</v>
      </c>
      <c r="E42" s="8" t="s">
        <v>2</v>
      </c>
      <c r="F42" s="21">
        <f>1-F41</f>
        <v>9.9999999999998979E-3</v>
      </c>
      <c r="G42">
        <v>9.9999999999998979E-3</v>
      </c>
    </row>
    <row r="45" spans="1:7" x14ac:dyDescent="0.25">
      <c r="E45" s="13" t="s">
        <v>9</v>
      </c>
      <c r="F45" s="13"/>
      <c r="G45" s="13"/>
    </row>
    <row r="46" spans="1:7" x14ac:dyDescent="0.25">
      <c r="E46" s="13"/>
      <c r="F46" s="13" t="s">
        <v>5</v>
      </c>
      <c r="G46" s="13" t="s">
        <v>6</v>
      </c>
    </row>
    <row r="47" spans="1:7" x14ac:dyDescent="0.25">
      <c r="B47" s="14" t="s">
        <v>0</v>
      </c>
      <c r="C47" s="15" t="s">
        <v>2</v>
      </c>
      <c r="E47" s="13" t="s">
        <v>7</v>
      </c>
      <c r="F47" s="13" t="s">
        <v>10</v>
      </c>
      <c r="G47" s="13" t="s">
        <v>24</v>
      </c>
    </row>
    <row r="48" spans="1:7" x14ac:dyDescent="0.25">
      <c r="B48" s="16" t="s">
        <v>1</v>
      </c>
      <c r="C48" s="17" t="s">
        <v>23</v>
      </c>
      <c r="E48" s="13" t="s">
        <v>8</v>
      </c>
      <c r="F48" s="13" t="s">
        <v>25</v>
      </c>
      <c r="G48" s="13" t="s">
        <v>3</v>
      </c>
    </row>
    <row r="51" spans="2:2" x14ac:dyDescent="0.25">
      <c r="B51" s="12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Lam</dc:creator>
  <cp:lastModifiedBy>Natalie Lam</cp:lastModifiedBy>
  <dcterms:created xsi:type="dcterms:W3CDTF">2025-06-14T11:52:39Z</dcterms:created>
  <dcterms:modified xsi:type="dcterms:W3CDTF">2026-01-05T03:50:56Z</dcterms:modified>
</cp:coreProperties>
</file>